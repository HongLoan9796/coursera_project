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g-Loan.Cao\Downloads\bài tập\"/>
    </mc:Choice>
  </mc:AlternateContent>
  <xr:revisionPtr revIDLastSave="0" documentId="8_{CD9311AD-07D5-47EE-87D7-AD946D97B0DB}" xr6:coauthVersionLast="36" xr6:coauthVersionMax="36" xr10:uidLastSave="{00000000-0000-0000-0000-000000000000}"/>
  <bookViews>
    <workbookView xWindow="0" yWindow="0" windowWidth="20490" windowHeight="7545" activeTab="1" xr2:uid="{00000000-000D-0000-FFFF-FFFF00000000}"/>
  </bookViews>
  <sheets>
    <sheet name="Pivot Table 1" sheetId="5" r:id="rId1"/>
    <sheet name="Pivot Table 2" sheetId="7" r:id="rId2"/>
    <sheet name="Pivot Table 3" sheetId="6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10" r:id="rId5"/>
  </pivotCaches>
</workbook>
</file>

<file path=xl/calcChain.xml><?xml version="1.0" encoding="utf-8"?>
<calcChain xmlns="http://schemas.openxmlformats.org/spreadsheetml/2006/main">
  <c r="C54" i="1" l="1"/>
  <c r="C55" i="1"/>
  <c r="C56" i="1"/>
  <c r="C57" i="1"/>
  <c r="C58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<sst xmlns="http://schemas.openxmlformats.org/spreadsheetml/2006/main" count="165" uniqueCount="37">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</sst>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10" xfId="0" applyFont="1" applyFill="1" applyBorder="1"/>
    <xf numFmtId="0" fontId="0" fillId="33" borderId="11" xfId="0" applyFont="1" applyFill="1" applyBorder="1"/>
    <xf numFmtId="0" fontId="0" fillId="33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4579.917321759262" createdVersion="6" refreshedVersion="6" minRefreshableVersion="3" recordCount="49" xr:uid="{37703516-5850-4509-9B61-D487E9C88832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35ED5-125B-4171-AE7F-2220D3C9C32C}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D37A0-9668-4AE2-8DB1-C27BF13F6709}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4D44A-2C44-48D6-A816-5168EABB9C2F}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FE4297-E703-4C58-8AE5-4C1642992DF6}" name="Table1" displayName="Table1" ref="A1:C50" totalsRowShown="0">
  <autoFilter ref="A1:C50" xr:uid="{3A05D87F-6352-4C0C-A3B5-37DD3BD0CA97}"/>
  <tableColumns count="3">
    <tableColumn id="1" xr3:uid="{7C464795-3B88-42F8-BE75-F49F9E328AD6}" name="Department"/>
    <tableColumn id="2" xr3:uid="{DC9E7F5A-C0C0-4359-B80F-9C390ED8F72E}" name="Equipment Class"/>
    <tableColumn id="3" xr3:uid="{F1E7E6F5-3571-428C-83F1-A015C55AF085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AEC4-7A7C-4B64-9DE6-9D6DAEE4A1EF}">
  <dimension ref="A3:B16"/>
  <sheetViews>
    <sheetView workbookViewId="0">
      <selection activeCell="A22" sqref="A22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7" t="s">
        <v>34</v>
      </c>
      <c r="B3" t="s">
        <v>36</v>
      </c>
    </row>
    <row r="4" spans="1:2" x14ac:dyDescent="0.25">
      <c r="A4" s="8" t="s">
        <v>26</v>
      </c>
      <c r="B4" s="9">
        <v>1221</v>
      </c>
    </row>
    <row r="5" spans="1:2" x14ac:dyDescent="0.25">
      <c r="A5" s="8" t="s">
        <v>15</v>
      </c>
      <c r="B5" s="9">
        <v>109</v>
      </c>
    </row>
    <row r="6" spans="1:2" x14ac:dyDescent="0.25">
      <c r="A6" s="8" t="s">
        <v>19</v>
      </c>
      <c r="B6" s="9">
        <v>85</v>
      </c>
    </row>
    <row r="7" spans="1:2" x14ac:dyDescent="0.25">
      <c r="A7" s="8" t="s">
        <v>12</v>
      </c>
      <c r="B7" s="9">
        <v>56</v>
      </c>
    </row>
    <row r="8" spans="1:2" x14ac:dyDescent="0.25">
      <c r="A8" s="8" t="s">
        <v>5</v>
      </c>
      <c r="B8" s="9">
        <v>45</v>
      </c>
    </row>
    <row r="9" spans="1:2" x14ac:dyDescent="0.25">
      <c r="A9" s="8" t="s">
        <v>18</v>
      </c>
      <c r="B9" s="9">
        <v>35</v>
      </c>
    </row>
    <row r="10" spans="1:2" x14ac:dyDescent="0.25">
      <c r="A10" s="8" t="s">
        <v>25</v>
      </c>
      <c r="B10" s="9">
        <v>16</v>
      </c>
    </row>
    <row r="11" spans="1:2" x14ac:dyDescent="0.25">
      <c r="A11" s="8" t="s">
        <v>9</v>
      </c>
      <c r="B11" s="9">
        <v>6</v>
      </c>
    </row>
    <row r="12" spans="1:2" x14ac:dyDescent="0.25">
      <c r="A12" s="8" t="s">
        <v>24</v>
      </c>
      <c r="B12" s="9">
        <v>5</v>
      </c>
    </row>
    <row r="13" spans="1:2" x14ac:dyDescent="0.25">
      <c r="A13" s="8" t="s">
        <v>8</v>
      </c>
      <c r="B13" s="9">
        <v>2</v>
      </c>
    </row>
    <row r="14" spans="1:2" x14ac:dyDescent="0.25">
      <c r="A14" s="8" t="s">
        <v>14</v>
      </c>
      <c r="B14" s="9">
        <v>1</v>
      </c>
    </row>
    <row r="15" spans="1:2" x14ac:dyDescent="0.25">
      <c r="A15" s="8" t="s">
        <v>17</v>
      </c>
      <c r="B15" s="9">
        <v>1</v>
      </c>
    </row>
    <row r="16" spans="1:2" x14ac:dyDescent="0.25">
      <c r="A16" s="8" t="s">
        <v>35</v>
      </c>
      <c r="B16" s="9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B61E-F86E-4D05-911B-CC7ED4047946}">
  <dimension ref="A3:B25"/>
  <sheetViews>
    <sheetView tabSelected="1" workbookViewId="0">
      <selection activeCell="I19" sqref="I19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7" t="s">
        <v>34</v>
      </c>
      <c r="B3" t="s">
        <v>36</v>
      </c>
    </row>
    <row r="4" spans="1:2" x14ac:dyDescent="0.25">
      <c r="A4" s="8" t="s">
        <v>26</v>
      </c>
      <c r="B4" s="9">
        <v>1221</v>
      </c>
    </row>
    <row r="5" spans="1:2" x14ac:dyDescent="0.25">
      <c r="A5" s="10" t="s">
        <v>16</v>
      </c>
      <c r="B5" s="9">
        <v>5</v>
      </c>
    </row>
    <row r="6" spans="1:2" x14ac:dyDescent="0.25">
      <c r="A6" s="10" t="s">
        <v>13</v>
      </c>
      <c r="B6" s="9">
        <v>248</v>
      </c>
    </row>
    <row r="7" spans="1:2" x14ac:dyDescent="0.25">
      <c r="A7" s="10" t="s">
        <v>11</v>
      </c>
      <c r="B7" s="9">
        <v>98</v>
      </c>
    </row>
    <row r="8" spans="1:2" x14ac:dyDescent="0.25">
      <c r="A8" s="10" t="s">
        <v>28</v>
      </c>
      <c r="B8" s="9">
        <v>276</v>
      </c>
    </row>
    <row r="9" spans="1:2" x14ac:dyDescent="0.25">
      <c r="A9" s="10" t="s">
        <v>6</v>
      </c>
      <c r="B9" s="9">
        <v>93</v>
      </c>
    </row>
    <row r="10" spans="1:2" x14ac:dyDescent="0.25">
      <c r="A10" s="10" t="s">
        <v>4</v>
      </c>
      <c r="B10" s="9">
        <v>37</v>
      </c>
    </row>
    <row r="11" spans="1:2" x14ac:dyDescent="0.25">
      <c r="A11" s="10" t="s">
        <v>7</v>
      </c>
      <c r="B11" s="9">
        <v>53</v>
      </c>
    </row>
    <row r="12" spans="1:2" x14ac:dyDescent="0.25">
      <c r="A12" s="10" t="s">
        <v>27</v>
      </c>
      <c r="B12" s="9">
        <v>379</v>
      </c>
    </row>
    <row r="13" spans="1:2" x14ac:dyDescent="0.25">
      <c r="A13" s="10" t="s">
        <v>10</v>
      </c>
      <c r="B13" s="9">
        <v>32</v>
      </c>
    </row>
    <row r="14" spans="1:2" x14ac:dyDescent="0.25">
      <c r="A14" s="8" t="s">
        <v>15</v>
      </c>
      <c r="B14" s="9">
        <v>109</v>
      </c>
    </row>
    <row r="15" spans="1:2" x14ac:dyDescent="0.25">
      <c r="A15" s="8" t="s">
        <v>19</v>
      </c>
      <c r="B15" s="9">
        <v>85</v>
      </c>
    </row>
    <row r="16" spans="1:2" x14ac:dyDescent="0.25">
      <c r="A16" s="8" t="s">
        <v>12</v>
      </c>
      <c r="B16" s="9">
        <v>56</v>
      </c>
    </row>
    <row r="17" spans="1:2" x14ac:dyDescent="0.25">
      <c r="A17" s="8" t="s">
        <v>5</v>
      </c>
      <c r="B17" s="9">
        <v>45</v>
      </c>
    </row>
    <row r="18" spans="1:2" x14ac:dyDescent="0.25">
      <c r="A18" s="8" t="s">
        <v>18</v>
      </c>
      <c r="B18" s="9">
        <v>35</v>
      </c>
    </row>
    <row r="19" spans="1:2" x14ac:dyDescent="0.25">
      <c r="A19" s="8" t="s">
        <v>25</v>
      </c>
      <c r="B19" s="9">
        <v>16</v>
      </c>
    </row>
    <row r="20" spans="1:2" x14ac:dyDescent="0.25">
      <c r="A20" s="8" t="s">
        <v>9</v>
      </c>
      <c r="B20" s="9">
        <v>6</v>
      </c>
    </row>
    <row r="21" spans="1:2" x14ac:dyDescent="0.25">
      <c r="A21" s="8" t="s">
        <v>24</v>
      </c>
      <c r="B21" s="9">
        <v>5</v>
      </c>
    </row>
    <row r="22" spans="1:2" x14ac:dyDescent="0.25">
      <c r="A22" s="8" t="s">
        <v>8</v>
      </c>
      <c r="B22" s="9">
        <v>2</v>
      </c>
    </row>
    <row r="23" spans="1:2" x14ac:dyDescent="0.25">
      <c r="A23" s="8" t="s">
        <v>14</v>
      </c>
      <c r="B23" s="9">
        <v>1</v>
      </c>
    </row>
    <row r="24" spans="1:2" x14ac:dyDescent="0.25">
      <c r="A24" s="8" t="s">
        <v>17</v>
      </c>
      <c r="B24" s="9">
        <v>1</v>
      </c>
    </row>
    <row r="25" spans="1:2" x14ac:dyDescent="0.25">
      <c r="A25" s="8" t="s">
        <v>35</v>
      </c>
      <c r="B25" s="9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7010-1F1A-449B-ACC4-28D7BAA484E8}">
  <dimension ref="A3:B21"/>
  <sheetViews>
    <sheetView workbookViewId="0">
      <selection activeCell="A4" sqref="A4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7" t="s">
        <v>34</v>
      </c>
      <c r="B3" t="s">
        <v>36</v>
      </c>
    </row>
    <row r="4" spans="1:2" x14ac:dyDescent="0.25">
      <c r="A4" s="8" t="s">
        <v>16</v>
      </c>
      <c r="B4" s="9">
        <v>15</v>
      </c>
    </row>
    <row r="5" spans="1:2" x14ac:dyDescent="0.25">
      <c r="A5" s="10" t="s">
        <v>15</v>
      </c>
      <c r="B5" s="9">
        <v>9</v>
      </c>
    </row>
    <row r="6" spans="1:2" x14ac:dyDescent="0.25">
      <c r="A6" s="10" t="s">
        <v>26</v>
      </c>
      <c r="B6" s="9">
        <v>5</v>
      </c>
    </row>
    <row r="7" spans="1:2" x14ac:dyDescent="0.25">
      <c r="A7" s="10" t="s">
        <v>25</v>
      </c>
      <c r="B7" s="9">
        <v>1</v>
      </c>
    </row>
    <row r="8" spans="1:2" x14ac:dyDescent="0.25">
      <c r="A8" s="8" t="s">
        <v>13</v>
      </c>
      <c r="B8" s="9">
        <v>290</v>
      </c>
    </row>
    <row r="9" spans="1:2" x14ac:dyDescent="0.25">
      <c r="A9" s="8" t="s">
        <v>11</v>
      </c>
      <c r="B9" s="9">
        <v>100</v>
      </c>
    </row>
    <row r="10" spans="1:2" x14ac:dyDescent="0.25">
      <c r="A10" s="8" t="s">
        <v>28</v>
      </c>
      <c r="B10" s="9">
        <v>283</v>
      </c>
    </row>
    <row r="11" spans="1:2" x14ac:dyDescent="0.25">
      <c r="A11" s="8" t="s">
        <v>6</v>
      </c>
      <c r="B11" s="9">
        <v>150</v>
      </c>
    </row>
    <row r="12" spans="1:2" x14ac:dyDescent="0.25">
      <c r="A12" s="8" t="s">
        <v>21</v>
      </c>
      <c r="B12" s="9">
        <v>4</v>
      </c>
    </row>
    <row r="13" spans="1:2" x14ac:dyDescent="0.25">
      <c r="A13" s="8" t="s">
        <v>23</v>
      </c>
      <c r="B13" s="9">
        <v>1</v>
      </c>
    </row>
    <row r="14" spans="1:2" x14ac:dyDescent="0.25">
      <c r="A14" s="8" t="s">
        <v>22</v>
      </c>
      <c r="B14" s="9">
        <v>47</v>
      </c>
    </row>
    <row r="15" spans="1:2" x14ac:dyDescent="0.25">
      <c r="A15" s="8" t="s">
        <v>3</v>
      </c>
      <c r="B15" s="9">
        <v>20</v>
      </c>
    </row>
    <row r="16" spans="1:2" x14ac:dyDescent="0.25">
      <c r="A16" s="8" t="s">
        <v>20</v>
      </c>
      <c r="B16" s="9">
        <v>8</v>
      </c>
    </row>
    <row r="17" spans="1:2" x14ac:dyDescent="0.25">
      <c r="A17" s="8" t="s">
        <v>4</v>
      </c>
      <c r="B17" s="9">
        <v>130</v>
      </c>
    </row>
    <row r="18" spans="1:2" x14ac:dyDescent="0.25">
      <c r="A18" s="8" t="s">
        <v>7</v>
      </c>
      <c r="B18" s="9">
        <v>90</v>
      </c>
    </row>
    <row r="19" spans="1:2" x14ac:dyDescent="0.25">
      <c r="A19" s="8" t="s">
        <v>27</v>
      </c>
      <c r="B19" s="9">
        <v>379</v>
      </c>
    </row>
    <row r="20" spans="1:2" x14ac:dyDescent="0.25">
      <c r="A20" s="8" t="s">
        <v>10</v>
      </c>
      <c r="B20" s="9">
        <v>65</v>
      </c>
    </row>
    <row r="21" spans="1:2" x14ac:dyDescent="0.25">
      <c r="A21" s="8" t="s">
        <v>35</v>
      </c>
      <c r="B21" s="9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opLeftCell="A41" workbookViewId="0">
      <selection activeCell="F52" sqref="F52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>
        <v>21</v>
      </c>
    </row>
    <row r="3" spans="1:3" x14ac:dyDescent="0.25">
      <c r="A3" t="s">
        <v>5</v>
      </c>
      <c r="B3" t="s">
        <v>7</v>
      </c>
      <c r="C3">
        <v>1</v>
      </c>
    </row>
    <row r="4" spans="1:3" x14ac:dyDescent="0.25">
      <c r="A4" t="s">
        <v>5</v>
      </c>
      <c r="B4" t="s">
        <v>4</v>
      </c>
      <c r="C4">
        <v>23</v>
      </c>
    </row>
    <row r="5" spans="1:3" x14ac:dyDescent="0.25">
      <c r="A5" t="s">
        <v>8</v>
      </c>
      <c r="B5" t="s">
        <v>4</v>
      </c>
      <c r="C5">
        <v>2</v>
      </c>
    </row>
    <row r="6" spans="1:3" x14ac:dyDescent="0.25">
      <c r="A6" t="s">
        <v>9</v>
      </c>
      <c r="B6" t="s">
        <v>6</v>
      </c>
      <c r="C6">
        <v>3</v>
      </c>
    </row>
    <row r="7" spans="1:3" x14ac:dyDescent="0.25">
      <c r="A7" t="s">
        <v>9</v>
      </c>
      <c r="B7" t="s">
        <v>10</v>
      </c>
      <c r="C7">
        <v>2</v>
      </c>
    </row>
    <row r="8" spans="1:3" x14ac:dyDescent="0.25">
      <c r="A8" t="s">
        <v>9</v>
      </c>
      <c r="B8" t="s">
        <v>11</v>
      </c>
      <c r="C8">
        <v>1</v>
      </c>
    </row>
    <row r="9" spans="1:3" x14ac:dyDescent="0.25">
      <c r="A9" t="s">
        <v>12</v>
      </c>
      <c r="B9" t="s">
        <v>10</v>
      </c>
      <c r="C9">
        <v>2</v>
      </c>
    </row>
    <row r="10" spans="1:3" x14ac:dyDescent="0.25">
      <c r="A10" t="s">
        <v>12</v>
      </c>
      <c r="B10" t="s">
        <v>13</v>
      </c>
      <c r="C10">
        <v>42</v>
      </c>
    </row>
    <row r="11" spans="1:3" x14ac:dyDescent="0.25">
      <c r="A11" t="s">
        <v>12</v>
      </c>
      <c r="B11" t="s">
        <v>7</v>
      </c>
      <c r="C11">
        <v>1</v>
      </c>
    </row>
    <row r="12" spans="1:3" x14ac:dyDescent="0.25">
      <c r="A12" t="s">
        <v>12</v>
      </c>
      <c r="B12" t="s">
        <v>4</v>
      </c>
      <c r="C12">
        <v>11</v>
      </c>
    </row>
    <row r="13" spans="1:3" x14ac:dyDescent="0.25">
      <c r="A13" t="s">
        <v>14</v>
      </c>
      <c r="B13" t="s">
        <v>7</v>
      </c>
      <c r="C13">
        <v>1</v>
      </c>
    </row>
    <row r="14" spans="1:3" x14ac:dyDescent="0.25">
      <c r="A14" t="s">
        <v>15</v>
      </c>
      <c r="B14" t="s">
        <v>16</v>
      </c>
      <c r="C14">
        <v>9</v>
      </c>
    </row>
    <row r="15" spans="1:3" x14ac:dyDescent="0.25">
      <c r="A15" t="s">
        <v>15</v>
      </c>
      <c r="B15" t="s">
        <v>7</v>
      </c>
      <c r="C15">
        <v>27</v>
      </c>
    </row>
    <row r="16" spans="1:3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  <row r="54" spans="1:3" x14ac:dyDescent="0.25">
      <c r="A54" s="4" t="s">
        <v>29</v>
      </c>
      <c r="B54" s="5"/>
      <c r="C54" s="6">
        <f>SUM(Montgomery_Fleet_Equipment_Inve!C2:C50)</f>
        <v>1582</v>
      </c>
    </row>
    <row r="55" spans="1:3" x14ac:dyDescent="0.25">
      <c r="A55" s="1" t="s">
        <v>30</v>
      </c>
      <c r="B55" s="2"/>
      <c r="C55" s="3">
        <f>AVERAGE(Montgomery_Fleet_Equipment_Inve!C2:C50)</f>
        <v>32.285714285714285</v>
      </c>
    </row>
    <row r="56" spans="1:3" x14ac:dyDescent="0.25">
      <c r="A56" s="4" t="s">
        <v>31</v>
      </c>
      <c r="B56" s="5"/>
      <c r="C56" s="6">
        <f>MIN(Montgomery_Fleet_Equipment_Inve!C2:C50)</f>
        <v>1</v>
      </c>
    </row>
    <row r="57" spans="1:3" x14ac:dyDescent="0.25">
      <c r="A57" s="1" t="s">
        <v>32</v>
      </c>
      <c r="B57" s="2"/>
      <c r="C57" s="3">
        <f>MAX(Montgomery_Fleet_Equipment_Inve!C2:C50)</f>
        <v>379</v>
      </c>
    </row>
    <row r="58" spans="1:3" x14ac:dyDescent="0.25">
      <c r="A58" s="4" t="s">
        <v>33</v>
      </c>
      <c r="B58" s="5"/>
      <c r="C58" s="6">
        <f>COUNT(Montgomery_Fleet_Equipment_Inve!C2:C50)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 1</vt:lpstr>
      <vt:lpstr>Pivot Table 2</vt:lpstr>
      <vt:lpstr>Pivot Table 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Hong-Loan.Cao</dc:creator>
  <cp:lastModifiedBy>Administrator</cp:lastModifiedBy>
  <dcterms:created xsi:type="dcterms:W3CDTF">2020-09-01T17:18:12Z</dcterms:created>
  <dcterms:modified xsi:type="dcterms:W3CDTF">2022-01-18T15:07:15Z</dcterms:modified>
</cp:coreProperties>
</file>